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36d8546f9529ba/바탕 화면/Excel Lab TEK 2025/Lab 2/"/>
    </mc:Choice>
  </mc:AlternateContent>
  <xr:revisionPtr revIDLastSave="48" documentId="13_ncr:1_{BBB26CE1-D2B1-C14D-91BC-CBE0F901C798}" xr6:coauthVersionLast="47" xr6:coauthVersionMax="47" xr10:uidLastSave="{40C3D19C-1363-418E-8DE7-FCD8F29B06CB}"/>
  <bookViews>
    <workbookView xWindow="-108" yWindow="-108" windowWidth="23256" windowHeight="12456" activeTab="1" xr2:uid="{D03F120C-5D8E-824F-8657-53C0717AEF32}"/>
  </bookViews>
  <sheets>
    <sheet name="Cover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30" i="2" s="1"/>
  <c r="D30" i="2" s="1"/>
  <c r="E14" i="2"/>
  <c r="E15" i="2"/>
  <c r="B25" i="2"/>
  <c r="G24" i="2"/>
  <c r="G30" i="2" s="1"/>
  <c r="B24" i="2"/>
  <c r="G25" i="2"/>
  <c r="G26" i="2"/>
  <c r="G27" i="2"/>
  <c r="G28" i="2"/>
  <c r="G29" i="2"/>
  <c r="B28" i="2"/>
  <c r="B27" i="2"/>
  <c r="B26" i="2"/>
  <c r="E17" i="2"/>
  <c r="E16" i="2"/>
  <c r="E21" i="2"/>
  <c r="E20" i="2"/>
  <c r="E19" i="2"/>
  <c r="E18" i="2"/>
</calcChain>
</file>

<file path=xl/sharedStrings.xml><?xml version="1.0" encoding="utf-8"?>
<sst xmlns="http://schemas.openxmlformats.org/spreadsheetml/2006/main" count="68" uniqueCount="44">
  <si>
    <t>Lab 2</t>
  </si>
  <si>
    <r>
      <t xml:space="preserve">Be sure this workbook file is named in this form: </t>
    </r>
    <r>
      <rPr>
        <sz val="16"/>
        <color rgb="FFFF0000"/>
        <rFont val="Aptos Narrow (Body)"/>
      </rPr>
      <t>u9999999_Lab_2.xlsx</t>
    </r>
    <r>
      <rPr>
        <sz val="16"/>
        <color theme="1"/>
        <rFont val="맑은 고딕"/>
        <family val="2"/>
        <scheme val="minor"/>
      </rPr>
      <t xml:space="preserve"> (replace u9999999 with your UID).</t>
    </r>
  </si>
  <si>
    <t>CustomerID</t>
  </si>
  <si>
    <t>Product</t>
  </si>
  <si>
    <t>State</t>
  </si>
  <si>
    <t>Price</t>
  </si>
  <si>
    <t>Date</t>
  </si>
  <si>
    <t>Keyboard</t>
  </si>
  <si>
    <t>Monitor</t>
  </si>
  <si>
    <t>Laptop</t>
  </si>
  <si>
    <t>Mouse</t>
  </si>
  <si>
    <t>UT</t>
  </si>
  <si>
    <t>PA</t>
  </si>
  <si>
    <t>CA</t>
  </si>
  <si>
    <t>NV</t>
  </si>
  <si>
    <t>FL</t>
  </si>
  <si>
    <t>OH</t>
  </si>
  <si>
    <t>Total:</t>
  </si>
  <si>
    <t>Average:</t>
  </si>
  <si>
    <t>Mean:</t>
  </si>
  <si>
    <t>Median:</t>
  </si>
  <si>
    <t>Mode:</t>
  </si>
  <si>
    <t>Min:</t>
  </si>
  <si>
    <t>Max:</t>
  </si>
  <si>
    <t>Descriptive Statistics</t>
  </si>
  <si>
    <t>Count:</t>
  </si>
  <si>
    <t xml:space="preserve">Assuming operating costs of 43%, write a formula in cell E30 that calculates the net total sales. </t>
  </si>
  <si>
    <t>Net Sales:</t>
  </si>
  <si>
    <r>
      <t xml:space="preserve">1. How many rows (records) are in the </t>
    </r>
    <r>
      <rPr>
        <i/>
        <sz val="12"/>
        <color theme="1"/>
        <rFont val="맑은 고딕"/>
        <family val="2"/>
        <scheme val="minor"/>
      </rPr>
      <t>population</t>
    </r>
    <r>
      <rPr>
        <sz val="12"/>
        <color theme="1"/>
        <rFont val="맑은 고딕"/>
        <family val="2"/>
        <scheme val="minor"/>
      </rPr>
      <t xml:space="preserve"> of the data above?</t>
    </r>
  </si>
  <si>
    <t>2. If I chose to calculate statistics on just sales in the state of Florida, what would we call that subset of data?</t>
  </si>
  <si>
    <r>
      <t xml:space="preserve">3. What type of variable is </t>
    </r>
    <r>
      <rPr>
        <i/>
        <sz val="12"/>
        <color theme="1"/>
        <rFont val="맑은 고딕"/>
        <family val="2"/>
        <scheme val="minor"/>
      </rPr>
      <t>Product</t>
    </r>
    <r>
      <rPr>
        <sz val="12"/>
        <color theme="1"/>
        <rFont val="맑은 고딕"/>
        <family val="2"/>
        <scheme val="minor"/>
      </rPr>
      <t xml:space="preserve">? </t>
    </r>
  </si>
  <si>
    <r>
      <t xml:space="preserve">4. What type of variable is </t>
    </r>
    <r>
      <rPr>
        <i/>
        <sz val="12"/>
        <color theme="1"/>
        <rFont val="맑은 고딕"/>
        <family val="2"/>
        <scheme val="minor"/>
      </rPr>
      <t>Price</t>
    </r>
    <r>
      <rPr>
        <sz val="12"/>
        <color theme="1"/>
        <rFont val="맑은 고딕"/>
        <family val="2"/>
        <scheme val="minor"/>
      </rPr>
      <t>?</t>
    </r>
  </si>
  <si>
    <r>
      <t xml:space="preserve">5. What level of measurement is the variable </t>
    </r>
    <r>
      <rPr>
        <i/>
        <sz val="12"/>
        <color theme="1"/>
        <rFont val="맑은 고딕"/>
        <family val="2"/>
        <scheme val="minor"/>
      </rPr>
      <t>Product</t>
    </r>
    <r>
      <rPr>
        <sz val="12"/>
        <color theme="1"/>
        <rFont val="맑은 고딕"/>
        <family val="2"/>
        <scheme val="minor"/>
      </rPr>
      <t>?</t>
    </r>
  </si>
  <si>
    <r>
      <t xml:space="preserve">6. What level of measurement is the variable </t>
    </r>
    <r>
      <rPr>
        <i/>
        <sz val="12"/>
        <color theme="1"/>
        <rFont val="맑은 고딕"/>
        <family val="2"/>
        <scheme val="minor"/>
      </rPr>
      <t>Price</t>
    </r>
    <r>
      <rPr>
        <sz val="12"/>
        <color theme="1"/>
        <rFont val="맑은 고딕"/>
        <family val="2"/>
        <scheme val="minor"/>
      </rPr>
      <t>?</t>
    </r>
  </si>
  <si>
    <r>
      <t xml:space="preserve">In the data above, CustomerID, Product, State, Data, and Price are our </t>
    </r>
    <r>
      <rPr>
        <i/>
        <sz val="12"/>
        <color theme="1"/>
        <rFont val="맑은 고딕"/>
        <family val="2"/>
        <scheme val="minor"/>
      </rPr>
      <t>variables</t>
    </r>
    <r>
      <rPr>
        <sz val="12"/>
        <color theme="1"/>
        <rFont val="맑은 고딕"/>
        <family val="2"/>
        <scheme val="minor"/>
      </rPr>
      <t>.</t>
    </r>
  </si>
  <si>
    <t>nominal</t>
  </si>
  <si>
    <t>categorical</t>
  </si>
  <si>
    <t>quantitative</t>
  </si>
  <si>
    <t>continuous</t>
  </si>
  <si>
    <t>sample</t>
    <phoneticPr fontId="11" type="noConversion"/>
  </si>
  <si>
    <t>Sales Dataset (Problem 1)</t>
    <phoneticPr fontId="11" type="noConversion"/>
  </si>
  <si>
    <t>Summary by State Using Manual Formulas (Problem 2)</t>
    <phoneticPr fontId="11" type="noConversion"/>
  </si>
  <si>
    <t>Summary by State using SUMIF() (Problem 3)</t>
    <phoneticPr fontId="11" type="noConversion"/>
  </si>
  <si>
    <t>Statistics Questions (Problem 4)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</si>
</sst>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2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28"/>
      <color rgb="FFFF0000"/>
      <name val="맑은 고딕"/>
      <family val="2"/>
      <scheme val="minor"/>
    </font>
    <font>
      <sz val="16"/>
      <color theme="1"/>
      <name val="맑은 고딕"/>
      <family val="2"/>
      <scheme val="minor"/>
    </font>
    <font>
      <sz val="16"/>
      <color rgb="FFFF0000"/>
      <name val="Aptos Narrow (Body)"/>
    </font>
    <font>
      <b/>
      <sz val="12"/>
      <color theme="1"/>
      <name val="맑은 고딕"/>
      <family val="2"/>
      <scheme val="minor"/>
    </font>
    <font>
      <i/>
      <sz val="12"/>
      <color theme="1"/>
      <name val="맑은 고딕"/>
      <family val="2"/>
      <scheme val="minor"/>
    </font>
    <font>
      <sz val="12"/>
      <color rgb="FF000000"/>
      <name val="맑은 고딕"/>
      <family val="2"/>
      <scheme val="minor"/>
    </font>
    <font>
      <b/>
      <sz val="18"/>
      <color theme="1"/>
      <name val="맑은 고딕"/>
      <family val="2"/>
      <scheme val="minor"/>
    </font>
    <font>
      <sz val="18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14" fontId="0" fillId="0" borderId="1" xfId="0" applyNumberFormat="1" applyBorder="1"/>
    <xf numFmtId="176" fontId="0" fillId="0" borderId="1" xfId="1" applyFont="1" applyBorder="1"/>
    <xf numFmtId="0" fontId="0" fillId="2" borderId="1" xfId="0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8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 applyAlignment="1">
      <alignment horizontal="right"/>
    </xf>
    <xf numFmtId="0" fontId="9" fillId="0" borderId="0" xfId="0" applyFont="1"/>
    <xf numFmtId="0" fontId="10" fillId="0" borderId="0" xfId="0" applyFont="1"/>
    <xf numFmtId="0" fontId="5" fillId="2" borderId="2" xfId="0" applyFont="1" applyFill="1" applyBorder="1" applyAlignment="1">
      <alignment horizontal="right"/>
    </xf>
    <xf numFmtId="0" fontId="0" fillId="0" borderId="12" xfId="0" applyBorder="1"/>
    <xf numFmtId="176" fontId="5" fillId="3" borderId="2" xfId="0" applyNumberFormat="1" applyFont="1" applyFill="1" applyBorder="1"/>
    <xf numFmtId="176" fontId="5" fillId="3" borderId="1" xfId="0" applyNumberFormat="1" applyFont="1" applyFill="1" applyBorder="1"/>
    <xf numFmtId="176" fontId="0" fillId="3" borderId="11" xfId="0" applyNumberFormat="1" applyFill="1" applyBorder="1"/>
    <xf numFmtId="176" fontId="0" fillId="3" borderId="2" xfId="0" applyNumberFormat="1" applyFill="1" applyBorder="1"/>
    <xf numFmtId="176" fontId="0" fillId="3" borderId="1" xfId="1" applyFont="1" applyFill="1" applyBorder="1"/>
    <xf numFmtId="0" fontId="0" fillId="3" borderId="1" xfId="0" applyFill="1" applyBorder="1"/>
    <xf numFmtId="0" fontId="7" fillId="4" borderId="11" xfId="0" applyFont="1" applyFill="1" applyBorder="1"/>
    <xf numFmtId="0" fontId="0" fillId="3" borderId="11" xfId="0" applyFill="1" applyBorder="1"/>
    <xf numFmtId="0" fontId="7" fillId="4" borderId="1" xfId="0" applyFont="1" applyFill="1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left" vertical="center" textRotation="90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830B-EC5B-F747-8341-1F0419DE5A0F}">
  <dimension ref="A1:A3"/>
  <sheetViews>
    <sheetView zoomScale="85" zoomScaleNormal="85" workbookViewId="0">
      <selection activeCell="C9" sqref="C9"/>
    </sheetView>
  </sheetViews>
  <sheetFormatPr defaultColWidth="11" defaultRowHeight="19.2"/>
  <sheetData>
    <row r="1" spans="1:1" ht="40.200000000000003">
      <c r="A1" s="1" t="s">
        <v>0</v>
      </c>
    </row>
    <row r="3" spans="1:1" ht="25.2">
      <c r="A3" s="2" t="s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D7BD-D4E5-144B-B2EE-41C7693B0921}">
  <dimension ref="A1:G45"/>
  <sheetViews>
    <sheetView showGridLines="0" tabSelected="1" topLeftCell="A20" zoomScale="110" zoomScaleNormal="110" workbookViewId="0">
      <selection activeCell="B29" sqref="B29"/>
    </sheetView>
  </sheetViews>
  <sheetFormatPr defaultColWidth="11" defaultRowHeight="19.2"/>
  <cols>
    <col min="1" max="1" width="15.453125" bestFit="1" customWidth="1"/>
    <col min="2" max="2" width="13.1796875" customWidth="1"/>
    <col min="3" max="3" width="15" customWidth="1"/>
    <col min="4" max="4" width="13.1796875" customWidth="1"/>
    <col min="6" max="6" width="19.1796875" customWidth="1"/>
    <col min="7" max="7" width="13.453125" customWidth="1"/>
  </cols>
  <sheetData>
    <row r="1" spans="1:6" ht="27.6">
      <c r="A1" s="17" t="s">
        <v>40</v>
      </c>
    </row>
    <row r="3" spans="1:6">
      <c r="A3" s="8" t="s">
        <v>2</v>
      </c>
      <c r="B3" s="8" t="s">
        <v>3</v>
      </c>
      <c r="C3" s="8" t="s">
        <v>4</v>
      </c>
      <c r="D3" s="8" t="s">
        <v>6</v>
      </c>
      <c r="E3" s="8" t="s">
        <v>5</v>
      </c>
    </row>
    <row r="4" spans="1:6">
      <c r="A4" s="3">
        <v>1234</v>
      </c>
      <c r="B4" s="3" t="s">
        <v>7</v>
      </c>
      <c r="C4" s="3" t="s">
        <v>11</v>
      </c>
      <c r="D4" s="4">
        <v>45597</v>
      </c>
      <c r="E4" s="5">
        <v>55.98</v>
      </c>
    </row>
    <row r="5" spans="1:6">
      <c r="A5" s="3">
        <v>2345</v>
      </c>
      <c r="B5" s="3" t="s">
        <v>8</v>
      </c>
      <c r="C5" s="3" t="s">
        <v>12</v>
      </c>
      <c r="D5" s="4">
        <v>45597</v>
      </c>
      <c r="E5" s="5">
        <v>179.99</v>
      </c>
    </row>
    <row r="6" spans="1:6">
      <c r="A6" s="3">
        <v>3456</v>
      </c>
      <c r="B6" s="3" t="s">
        <v>8</v>
      </c>
      <c r="C6" s="3" t="s">
        <v>13</v>
      </c>
      <c r="D6" s="4">
        <v>45597</v>
      </c>
      <c r="E6" s="5">
        <v>179.99</v>
      </c>
    </row>
    <row r="7" spans="1:6">
      <c r="A7" s="3">
        <v>4567</v>
      </c>
      <c r="B7" s="3" t="s">
        <v>9</v>
      </c>
      <c r="C7" s="3" t="s">
        <v>14</v>
      </c>
      <c r="D7" s="4">
        <v>45598</v>
      </c>
      <c r="E7" s="5">
        <v>899.99</v>
      </c>
    </row>
    <row r="8" spans="1:6">
      <c r="A8" s="3">
        <v>5678</v>
      </c>
      <c r="B8" s="3" t="s">
        <v>9</v>
      </c>
      <c r="C8" s="3" t="s">
        <v>15</v>
      </c>
      <c r="D8" s="4">
        <v>45598</v>
      </c>
      <c r="E8" s="5">
        <v>899.99</v>
      </c>
    </row>
    <row r="9" spans="1:6">
      <c r="A9" s="3">
        <v>6789</v>
      </c>
      <c r="B9" s="3" t="s">
        <v>10</v>
      </c>
      <c r="C9" s="3" t="s">
        <v>12</v>
      </c>
      <c r="D9" s="4">
        <v>45601</v>
      </c>
      <c r="E9" s="5">
        <v>29.95</v>
      </c>
    </row>
    <row r="10" spans="1:6">
      <c r="A10" s="3">
        <v>7890</v>
      </c>
      <c r="B10" s="3" t="s">
        <v>7</v>
      </c>
      <c r="C10" s="3" t="s">
        <v>15</v>
      </c>
      <c r="D10" s="4">
        <v>45601</v>
      </c>
      <c r="E10" s="5">
        <v>55.98</v>
      </c>
    </row>
    <row r="11" spans="1:6">
      <c r="A11" s="3">
        <v>4321</v>
      </c>
      <c r="B11" s="3" t="s">
        <v>9</v>
      </c>
      <c r="C11" s="3" t="s">
        <v>15</v>
      </c>
      <c r="D11" s="4">
        <v>45601</v>
      </c>
      <c r="E11" s="5">
        <v>899.99</v>
      </c>
    </row>
    <row r="12" spans="1:6">
      <c r="A12" s="3">
        <v>5432</v>
      </c>
      <c r="B12" s="3" t="s">
        <v>7</v>
      </c>
      <c r="C12" s="3" t="s">
        <v>16</v>
      </c>
      <c r="D12" s="4">
        <v>45602</v>
      </c>
      <c r="E12" s="5">
        <v>55.98</v>
      </c>
    </row>
    <row r="13" spans="1:6">
      <c r="A13" s="3">
        <v>6543</v>
      </c>
      <c r="B13" s="3" t="s">
        <v>10</v>
      </c>
      <c r="C13" s="3" t="s">
        <v>12</v>
      </c>
      <c r="D13" s="4">
        <v>45602</v>
      </c>
      <c r="E13" s="5">
        <v>29.95</v>
      </c>
    </row>
    <row r="14" spans="1:6" ht="16.05" customHeight="1">
      <c r="A14" s="18"/>
      <c r="D14" s="23" t="s">
        <v>17</v>
      </c>
      <c r="E14" s="25">
        <f>SUM(E4:E13)</f>
        <v>3287.7899999999995</v>
      </c>
      <c r="F14" s="36" t="s">
        <v>24</v>
      </c>
    </row>
    <row r="15" spans="1:6">
      <c r="A15" s="19"/>
      <c r="D15" s="7" t="s">
        <v>18</v>
      </c>
      <c r="E15" s="26">
        <f>AVERAGE($E$4:$E$13)</f>
        <v>328.77899999999994</v>
      </c>
      <c r="F15" s="36"/>
    </row>
    <row r="16" spans="1:6">
      <c r="D16" s="7" t="s">
        <v>19</v>
      </c>
      <c r="E16" s="26">
        <f>AVERAGE($E$4:$E$13)</f>
        <v>328.77899999999994</v>
      </c>
      <c r="F16" s="36"/>
    </row>
    <row r="17" spans="1:7">
      <c r="D17" s="7" t="s">
        <v>20</v>
      </c>
      <c r="E17" s="26">
        <f>MEDIAN($E$4:$E$13)</f>
        <v>117.98500000000001</v>
      </c>
      <c r="F17" s="36"/>
    </row>
    <row r="18" spans="1:7">
      <c r="D18" s="7" t="s">
        <v>21</v>
      </c>
      <c r="E18" s="26">
        <f>MODE($E$4:$E$13)</f>
        <v>55.98</v>
      </c>
      <c r="F18" s="36"/>
    </row>
    <row r="19" spans="1:7">
      <c r="D19" s="7" t="s">
        <v>22</v>
      </c>
      <c r="E19" s="26">
        <f>MIN($E$4:$E$13)</f>
        <v>29.95</v>
      </c>
      <c r="F19" s="36"/>
    </row>
    <row r="20" spans="1:7">
      <c r="D20" s="7" t="s">
        <v>23</v>
      </c>
      <c r="E20" s="26">
        <f>MAX($E$4:$E$13)</f>
        <v>899.99</v>
      </c>
      <c r="F20" s="36"/>
    </row>
    <row r="21" spans="1:7">
      <c r="D21" s="7" t="s">
        <v>25</v>
      </c>
      <c r="E21" s="26">
        <f>COUNT($E$4:$E$13)</f>
        <v>10</v>
      </c>
      <c r="F21" s="36"/>
    </row>
    <row r="22" spans="1:7" ht="27.6">
      <c r="A22" s="17"/>
    </row>
    <row r="23" spans="1:7" s="21" customFormat="1" ht="27.6">
      <c r="A23" s="22" t="s">
        <v>41</v>
      </c>
      <c r="F23" s="22" t="s">
        <v>42</v>
      </c>
    </row>
    <row r="24" spans="1:7" ht="16.05" customHeight="1">
      <c r="A24" s="6" t="s">
        <v>13</v>
      </c>
      <c r="B24" s="27">
        <f>E6</f>
        <v>179.99</v>
      </c>
      <c r="C24" s="37" t="s">
        <v>26</v>
      </c>
      <c r="D24" s="38"/>
      <c r="F24" s="6" t="s">
        <v>13</v>
      </c>
      <c r="G24" s="29">
        <f>SUMIF($C$4:$C$13,F24,$E$4:$E$13)</f>
        <v>179.99</v>
      </c>
    </row>
    <row r="25" spans="1:7">
      <c r="A25" s="6" t="s">
        <v>15</v>
      </c>
      <c r="B25" s="27">
        <f>E8+E10+E11</f>
        <v>1855.96</v>
      </c>
      <c r="C25" s="34"/>
      <c r="D25" s="39"/>
      <c r="F25" s="6" t="s">
        <v>15</v>
      </c>
      <c r="G25" s="29">
        <f t="shared" ref="G25:G29" si="0">SUMIF($C$4:$C$13,F25,$E$4:$E$13)</f>
        <v>1855.96</v>
      </c>
    </row>
    <row r="26" spans="1:7">
      <c r="A26" s="6" t="s">
        <v>14</v>
      </c>
      <c r="B26" s="27">
        <f>E7</f>
        <v>899.99</v>
      </c>
      <c r="C26" s="34"/>
      <c r="D26" s="39"/>
      <c r="F26" s="6" t="s">
        <v>14</v>
      </c>
      <c r="G26" s="29">
        <f t="shared" si="0"/>
        <v>899.99</v>
      </c>
    </row>
    <row r="27" spans="1:7">
      <c r="A27" s="6" t="s">
        <v>16</v>
      </c>
      <c r="B27" s="27">
        <f>E12</f>
        <v>55.98</v>
      </c>
      <c r="C27" s="34"/>
      <c r="D27" s="39"/>
      <c r="F27" s="6" t="s">
        <v>16</v>
      </c>
      <c r="G27" s="29">
        <f t="shared" si="0"/>
        <v>55.98</v>
      </c>
    </row>
    <row r="28" spans="1:7">
      <c r="A28" s="6" t="s">
        <v>12</v>
      </c>
      <c r="B28" s="27">
        <f>E5+E9+E13</f>
        <v>239.89</v>
      </c>
      <c r="C28" s="34"/>
      <c r="D28" s="39"/>
      <c r="F28" s="6" t="s">
        <v>12</v>
      </c>
      <c r="G28" s="29">
        <f t="shared" si="0"/>
        <v>239.89</v>
      </c>
    </row>
    <row r="29" spans="1:7">
      <c r="A29" s="6" t="s">
        <v>11</v>
      </c>
      <c r="B29" s="27">
        <f>2*E4</f>
        <v>111.96</v>
      </c>
      <c r="C29" s="40"/>
      <c r="D29" s="41"/>
      <c r="F29" s="6" t="s">
        <v>11</v>
      </c>
      <c r="G29" s="29">
        <f t="shared" si="0"/>
        <v>55.98</v>
      </c>
    </row>
    <row r="30" spans="1:7">
      <c r="A30" s="7" t="s">
        <v>17</v>
      </c>
      <c r="B30" s="26">
        <f>SUM(B24:B29)</f>
        <v>3343.77</v>
      </c>
      <c r="C30" s="20" t="s">
        <v>27</v>
      </c>
      <c r="D30" s="28">
        <f>B30-(B30*0.43)</f>
        <v>1905.9489000000001</v>
      </c>
      <c r="F30" s="7" t="s">
        <v>17</v>
      </c>
      <c r="G30" s="26">
        <f>SUM(G24:G29)</f>
        <v>3287.79</v>
      </c>
    </row>
    <row r="32" spans="1:7" ht="27.6">
      <c r="A32" s="17" t="s">
        <v>43</v>
      </c>
    </row>
    <row r="33" spans="1:7">
      <c r="A33" s="9"/>
      <c r="B33" s="10"/>
      <c r="C33" s="10"/>
      <c r="D33" s="10"/>
      <c r="E33" s="10"/>
      <c r="F33" s="10"/>
      <c r="G33" s="11"/>
    </row>
    <row r="34" spans="1:7">
      <c r="A34" s="12" t="s">
        <v>28</v>
      </c>
      <c r="F34" s="30">
        <v>10</v>
      </c>
      <c r="G34" s="13"/>
    </row>
    <row r="35" spans="1:7">
      <c r="A35" s="12"/>
      <c r="G35" s="13"/>
    </row>
    <row r="36" spans="1:7" ht="31.95" customHeight="1">
      <c r="A36" s="34" t="s">
        <v>29</v>
      </c>
      <c r="B36" s="35"/>
      <c r="C36" s="35"/>
      <c r="D36" s="35"/>
      <c r="E36" s="35"/>
      <c r="F36" s="30" t="s">
        <v>39</v>
      </c>
      <c r="G36" s="13"/>
    </row>
    <row r="37" spans="1:7">
      <c r="A37" s="12"/>
      <c r="G37" s="13"/>
    </row>
    <row r="38" spans="1:7">
      <c r="A38" s="12" t="s">
        <v>34</v>
      </c>
      <c r="G38" s="13"/>
    </row>
    <row r="39" spans="1:7">
      <c r="G39" s="13"/>
    </row>
    <row r="40" spans="1:7">
      <c r="A40" s="12" t="s">
        <v>30</v>
      </c>
      <c r="C40" s="31" t="s">
        <v>36</v>
      </c>
      <c r="D40" s="24"/>
      <c r="G40" s="13"/>
    </row>
    <row r="41" spans="1:7">
      <c r="A41" s="12" t="s">
        <v>31</v>
      </c>
      <c r="D41" s="32" t="s">
        <v>35</v>
      </c>
      <c r="G41" s="13"/>
    </row>
    <row r="42" spans="1:7">
      <c r="A42" s="12"/>
      <c r="G42" s="13"/>
    </row>
    <row r="43" spans="1:7">
      <c r="A43" s="12" t="s">
        <v>32</v>
      </c>
      <c r="D43" s="33" t="s">
        <v>37</v>
      </c>
      <c r="G43" s="13"/>
    </row>
    <row r="44" spans="1:7">
      <c r="A44" s="12" t="s">
        <v>33</v>
      </c>
      <c r="D44" s="33" t="s">
        <v>38</v>
      </c>
      <c r="G44" s="13"/>
    </row>
    <row r="45" spans="1:7">
      <c r="A45" s="14"/>
      <c r="B45" s="15"/>
      <c r="C45" s="15"/>
      <c r="D45" s="15"/>
      <c r="E45" s="15"/>
      <c r="F45" s="15"/>
      <c r="G45" s="16"/>
    </row>
  </sheetData>
  <mergeCells count="3">
    <mergeCell ref="A36:E36"/>
    <mergeCell ref="F14:F21"/>
    <mergeCell ref="C24:D29"/>
  </mergeCells>
  <phoneticPr fontId="1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Cover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Gordon</dc:creator>
  <cp:lastModifiedBy>Chanu Hwang</cp:lastModifiedBy>
  <dcterms:created xsi:type="dcterms:W3CDTF">2024-12-23T14:28:56Z</dcterms:created>
  <dcterms:modified xsi:type="dcterms:W3CDTF">2026-01-27T12:50:37Z</dcterms:modified>
</cp:coreProperties>
</file>